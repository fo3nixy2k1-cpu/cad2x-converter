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400" windowHeight="116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<sst xmlns="http://schemas.openxmlformats.org/spreadsheetml/2006/main" count="82" uniqueCount="36">
  <si>
    <t>施工服务费合同结算金额审核确认报告</t>
  </si>
  <si>
    <t>序号</t>
  </si>
  <si>
    <t>投资项目/预算编号</t>
  </si>
  <si>
    <t>框架合同编号</t>
  </si>
  <si>
    <t>单项合同/
订单编号</t>
  </si>
  <si>
    <t>不含税合同/订单金额（元）</t>
  </si>
  <si>
    <t>施工单位报送不含税金额（元）</t>
  </si>
  <si>
    <t>核定不含税结算金额（元）</t>
  </si>
  <si>
    <t>税金（元）</t>
  </si>
  <si>
    <t>备注</t>
  </si>
  <si>
    <t>B25302110AA0014</t>
  </si>
  <si>
    <t>CMGD-202500909</t>
  </si>
  <si>
    <t>APO302127250700258</t>
  </si>
  <si>
    <t>CBN-江门鹤山市连城C-RAN1（江门鹤山三连工业区二）U-Z5H</t>
  </si>
  <si>
    <t>CBN-江门鹤山路管所（江门鹤山裕兴雨具）U-Z5H</t>
  </si>
  <si>
    <t>CBN-江门鹤山市鹤城二（江门鹤山创美）U-Z5H</t>
  </si>
  <si>
    <t>CBN-江门鹤山福迳（江门鹤山甘牛集团）U-Z5H</t>
  </si>
  <si>
    <t>CBN-江门蓬江区滨江新区1二（江门新昌公园）U-Z5H</t>
  </si>
  <si>
    <t>CBN-江门鹤山浩龙（江门鹤山鹤城联东（设备替换））U-Z5H</t>
  </si>
  <si>
    <t>CBN-江门礼乐新丰（江门江海东海路（设备替换））U-Z5H</t>
  </si>
  <si>
    <t>CBN-江门轻轨礼乐站（江门捷宏一品）U-Z5H</t>
  </si>
  <si>
    <t>CBN-江门汇聪电子（江门白水带山脚）U-Z5H</t>
  </si>
  <si>
    <t>CBN-江门鹤山大朗（江门鹤山址山昆中石北）U-Z5H</t>
  </si>
  <si>
    <t>APO302127251000020</t>
  </si>
  <si>
    <t>CBN-江门荷塘（江门蓬江技师荷塘校区）U-Z5H</t>
  </si>
  <si>
    <t>CBN-江门益晖印刷（江门永达顺（新））U-Z5H</t>
  </si>
  <si>
    <t>CBN-江门三堡（江门蓬江元岭村西）U-Z5H</t>
  </si>
  <si>
    <t>CBN-江门鹤山大富（江门鹤山大墩村）U-Z5H</t>
  </si>
  <si>
    <t>CBN-江门鹤山平岭（江门鹤山共和平岭山顶村）U-Z5H</t>
  </si>
  <si>
    <t>CBN-江门柏年（江门江海连海二路）U-Z5H</t>
  </si>
  <si>
    <t>APO302127251100301</t>
  </si>
  <si>
    <t>CBN-江门鹤山新民（江门鹤山共和新联油漆）U-Z5H</t>
  </si>
  <si>
    <t>合计</t>
  </si>
  <si>
    <t>施工单位：
确认人：
审核人： 
日期：</t>
  </si>
  <si>
    <t>监理单位：
确认人：
日期：</t>
  </si>
  <si>
    <t>建设单位：中国移动通信集团广东有限公司江门分公司工程建设中心
确认人：
审核人： 
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</si>
</sst>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  <numFmt numFmtId="177" formatCode="0.00_);[Red]\(0.00\)"/>
  </numFmts>
  <fonts count="27">
    <font>
      <sz val="11"/>
      <color indexed="8"/>
      <name val="宋体"/>
      <charset val="134"/>
      <scheme val="minor"/>
    </font>
    <font>
      <sz val="22"/>
      <color indexed="8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23">
    <xf numFmtId="0" fontId="0" fillId="0" borderId="0" xfId="0" applyFont="1">
      <alignment vertical="center"/>
    </xf>
    <xf numFmtId="0" fontId="0" fillId="0" borderId="0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176" fontId="0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49" fontId="6" fillId="0" borderId="0" xfId="49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0" fillId="0" borderId="6" xfId="0" applyNumberFormat="1" applyFont="1" applyBorder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21"/>
  <sheetViews>
    <sheetView tabSelected="1" view="pageBreakPreview" zoomScaleNormal="100" workbookViewId="0">
      <selection activeCell="I17" sqref="I17"/>
    </sheetView>
  </sheetViews>
  <sheetFormatPr defaultColWidth="8.89380530973451" defaultRowHeight="13.5"/>
  <cols>
    <col min="1" max="1" width="10.1061946902655" customWidth="1"/>
    <col min="2" max="2" width="20.8761061946903" customWidth="1"/>
    <col min="3" max="3" width="19" customWidth="1"/>
    <col min="4" max="4" width="21.7522123893805" customWidth="1"/>
    <col min="5" max="5" width="16.8938053097345" customWidth="1"/>
    <col min="6" max="6" width="16.2477876106195" customWidth="1"/>
    <col min="7" max="7" width="14.2212389380531" customWidth="1"/>
    <col min="8" max="8" width="12.5044247787611" customWidth="1"/>
    <col min="9" max="9" width="70.2477876106195" customWidth="1"/>
    <col min="10" max="10" width="8.89380530973451" style="1"/>
    <col min="11" max="11" width="30.4070796460177" style="1" customWidth="1"/>
  </cols>
  <sheetData>
    <row r="1" ht="46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40" customHeight="1" spans="1:9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ht="21" customHeight="1" spans="1:11">
      <c r="A3" s="3">
        <v>1</v>
      </c>
      <c r="B3" s="5" t="s">
        <v>10</v>
      </c>
      <c r="C3" s="5" t="s">
        <v>11</v>
      </c>
      <c r="D3" s="6" t="s">
        <v>12</v>
      </c>
      <c r="E3" s="7">
        <v>5180.12</v>
      </c>
      <c r="F3" s="8">
        <v>5122.95</v>
      </c>
      <c r="G3" s="8">
        <v>4628.36</v>
      </c>
      <c r="H3" s="8">
        <f t="shared" ref="H3:H9" si="0">G3*9%</f>
        <v>416.5524</v>
      </c>
      <c r="I3" s="17" t="s">
        <v>13</v>
      </c>
      <c r="J3" s="18"/>
      <c r="K3"/>
    </row>
    <row r="4" ht="21" customHeight="1" spans="1:11">
      <c r="A4" s="3">
        <v>2</v>
      </c>
      <c r="B4" s="5" t="s">
        <v>10</v>
      </c>
      <c r="C4" s="5" t="s">
        <v>11</v>
      </c>
      <c r="D4" s="6" t="s">
        <v>12</v>
      </c>
      <c r="E4" s="7">
        <v>4902.53</v>
      </c>
      <c r="F4" s="8">
        <v>4845.36</v>
      </c>
      <c r="G4" s="8">
        <v>4350.78</v>
      </c>
      <c r="H4" s="8">
        <f t="shared" si="0"/>
        <v>391.5702</v>
      </c>
      <c r="I4" s="17" t="s">
        <v>14</v>
      </c>
      <c r="J4" s="18"/>
      <c r="K4"/>
    </row>
    <row r="5" ht="21" customHeight="1" spans="1:11">
      <c r="A5" s="3">
        <v>3</v>
      </c>
      <c r="B5" s="5" t="s">
        <v>10</v>
      </c>
      <c r="C5" s="5" t="s">
        <v>11</v>
      </c>
      <c r="D5" s="6" t="s">
        <v>12</v>
      </c>
      <c r="E5" s="7">
        <v>4367.62</v>
      </c>
      <c r="F5" s="8">
        <v>4310.44</v>
      </c>
      <c r="G5" s="8">
        <v>4244.89</v>
      </c>
      <c r="H5" s="8">
        <f t="shared" si="0"/>
        <v>382.0401</v>
      </c>
      <c r="I5" s="19" t="s">
        <v>15</v>
      </c>
      <c r="J5" s="18"/>
      <c r="K5"/>
    </row>
    <row r="6" ht="21" customHeight="1" spans="1:11">
      <c r="A6" s="3">
        <v>4</v>
      </c>
      <c r="B6" s="5" t="s">
        <v>10</v>
      </c>
      <c r="C6" s="5" t="s">
        <v>11</v>
      </c>
      <c r="D6" s="6" t="s">
        <v>12</v>
      </c>
      <c r="E6" s="7">
        <v>4256.93</v>
      </c>
      <c r="F6" s="8">
        <v>4199.75</v>
      </c>
      <c r="G6" s="8">
        <v>4233</v>
      </c>
      <c r="H6" s="8">
        <f t="shared" si="0"/>
        <v>380.97</v>
      </c>
      <c r="I6" s="19" t="s">
        <v>16</v>
      </c>
      <c r="J6" s="18"/>
      <c r="K6"/>
    </row>
    <row r="7" ht="21" customHeight="1" spans="1:11">
      <c r="A7" s="3">
        <v>5</v>
      </c>
      <c r="B7" s="5" t="s">
        <v>10</v>
      </c>
      <c r="C7" s="5" t="s">
        <v>11</v>
      </c>
      <c r="D7" s="6" t="s">
        <v>12</v>
      </c>
      <c r="E7" s="7">
        <v>6113.73</v>
      </c>
      <c r="F7" s="8">
        <v>6056.55</v>
      </c>
      <c r="G7" s="8">
        <v>5991.69</v>
      </c>
      <c r="H7" s="8">
        <f t="shared" si="0"/>
        <v>539.2521</v>
      </c>
      <c r="I7" s="19" t="s">
        <v>17</v>
      </c>
      <c r="J7" s="18"/>
      <c r="K7"/>
    </row>
    <row r="8" ht="21" customHeight="1" spans="1:11">
      <c r="A8" s="3">
        <v>6</v>
      </c>
      <c r="B8" s="5" t="s">
        <v>10</v>
      </c>
      <c r="C8" s="5" t="s">
        <v>11</v>
      </c>
      <c r="D8" s="6" t="s">
        <v>12</v>
      </c>
      <c r="E8" s="7">
        <v>7279.44</v>
      </c>
      <c r="F8" s="8">
        <v>7222.27</v>
      </c>
      <c r="G8" s="8">
        <v>7153.15</v>
      </c>
      <c r="H8" s="8">
        <f t="shared" si="0"/>
        <v>643.7835</v>
      </c>
      <c r="I8" s="19" t="s">
        <v>18</v>
      </c>
      <c r="J8" s="18"/>
      <c r="K8"/>
    </row>
    <row r="9" ht="21" customHeight="1" spans="1:11">
      <c r="A9" s="3">
        <v>7</v>
      </c>
      <c r="B9" s="5" t="s">
        <v>10</v>
      </c>
      <c r="C9" s="5" t="s">
        <v>11</v>
      </c>
      <c r="D9" s="6" t="s">
        <v>12</v>
      </c>
      <c r="E9" s="7">
        <v>7276.91</v>
      </c>
      <c r="F9" s="8">
        <v>7219.74</v>
      </c>
      <c r="G9" s="8">
        <v>7144.31</v>
      </c>
      <c r="H9" s="8">
        <f t="shared" si="0"/>
        <v>642.9879</v>
      </c>
      <c r="I9" s="19" t="s">
        <v>19</v>
      </c>
      <c r="J9" s="18"/>
      <c r="K9"/>
    </row>
    <row r="10" ht="21" customHeight="1" spans="1:11">
      <c r="A10" s="3">
        <v>8</v>
      </c>
      <c r="B10" s="5" t="s">
        <v>10</v>
      </c>
      <c r="C10" s="5" t="s">
        <v>11</v>
      </c>
      <c r="D10" s="6" t="s">
        <v>12</v>
      </c>
      <c r="E10" s="7">
        <v>7704.89</v>
      </c>
      <c r="F10" s="8">
        <v>7647.72</v>
      </c>
      <c r="G10" s="8">
        <v>7098.84</v>
      </c>
      <c r="H10" s="8">
        <f t="shared" ref="H3:H19" si="1">G10*9%</f>
        <v>638.8956</v>
      </c>
      <c r="I10" s="19" t="s">
        <v>20</v>
      </c>
      <c r="J10" s="18"/>
      <c r="K10"/>
    </row>
    <row r="11" ht="21" customHeight="1" spans="1:11">
      <c r="A11" s="3">
        <v>9</v>
      </c>
      <c r="B11" s="5" t="s">
        <v>10</v>
      </c>
      <c r="C11" s="5" t="s">
        <v>11</v>
      </c>
      <c r="D11" s="6" t="s">
        <v>12</v>
      </c>
      <c r="E11" s="7">
        <v>8399.45</v>
      </c>
      <c r="F11" s="8">
        <v>7793.93</v>
      </c>
      <c r="G11" s="8">
        <v>7597.28</v>
      </c>
      <c r="H11" s="8">
        <f t="shared" si="1"/>
        <v>683.7552</v>
      </c>
      <c r="I11" s="19" t="s">
        <v>21</v>
      </c>
      <c r="J11" s="18"/>
      <c r="K11"/>
    </row>
    <row r="12" ht="21" customHeight="1" spans="1:11">
      <c r="A12" s="3">
        <v>10</v>
      </c>
      <c r="B12" s="5" t="s">
        <v>10</v>
      </c>
      <c r="C12" s="5" t="s">
        <v>11</v>
      </c>
      <c r="D12" s="6" t="s">
        <v>12</v>
      </c>
      <c r="E12" s="7">
        <v>4049.55</v>
      </c>
      <c r="F12" s="8">
        <v>3992.38</v>
      </c>
      <c r="G12" s="8">
        <v>3883.25</v>
      </c>
      <c r="H12" s="8">
        <f t="shared" si="1"/>
        <v>349.4925</v>
      </c>
      <c r="I12" s="19" t="s">
        <v>22</v>
      </c>
      <c r="J12" s="18"/>
      <c r="K12"/>
    </row>
    <row r="13" ht="21" customHeight="1" spans="1:11">
      <c r="A13" s="3">
        <v>11</v>
      </c>
      <c r="B13" s="5" t="s">
        <v>10</v>
      </c>
      <c r="C13" s="5" t="s">
        <v>11</v>
      </c>
      <c r="D13" s="6" t="s">
        <v>23</v>
      </c>
      <c r="E13" s="7">
        <v>5876.01</v>
      </c>
      <c r="F13" s="8">
        <v>5818.84</v>
      </c>
      <c r="G13" s="8">
        <v>5609.67</v>
      </c>
      <c r="H13" s="8">
        <f t="shared" si="1"/>
        <v>504.8703</v>
      </c>
      <c r="I13" s="19" t="s">
        <v>24</v>
      </c>
      <c r="J13" s="18"/>
      <c r="K13"/>
    </row>
    <row r="14" ht="21" customHeight="1" spans="1:11">
      <c r="A14" s="3">
        <v>12</v>
      </c>
      <c r="B14" s="5" t="s">
        <v>10</v>
      </c>
      <c r="C14" s="5" t="s">
        <v>11</v>
      </c>
      <c r="D14" s="6" t="s">
        <v>23</v>
      </c>
      <c r="E14" s="7">
        <v>8306.22</v>
      </c>
      <c r="F14" s="8">
        <v>8249.05</v>
      </c>
      <c r="G14" s="8">
        <v>8183.5</v>
      </c>
      <c r="H14" s="8">
        <f t="shared" si="1"/>
        <v>736.515</v>
      </c>
      <c r="I14" s="19" t="s">
        <v>25</v>
      </c>
      <c r="J14" s="18"/>
      <c r="K14"/>
    </row>
    <row r="15" ht="21" customHeight="1" spans="1:11">
      <c r="A15" s="3">
        <v>13</v>
      </c>
      <c r="B15" s="5" t="s">
        <v>10</v>
      </c>
      <c r="C15" s="5" t="s">
        <v>11</v>
      </c>
      <c r="D15" s="6" t="s">
        <v>23</v>
      </c>
      <c r="E15" s="7">
        <v>2933.32</v>
      </c>
      <c r="F15" s="8">
        <v>2876.14</v>
      </c>
      <c r="G15" s="8">
        <v>2810.59</v>
      </c>
      <c r="H15" s="8">
        <f t="shared" si="1"/>
        <v>252.9531</v>
      </c>
      <c r="I15" s="19" t="s">
        <v>26</v>
      </c>
      <c r="J15" s="18"/>
      <c r="K15"/>
    </row>
    <row r="16" ht="21" customHeight="1" spans="1:11">
      <c r="A16" s="3">
        <v>14</v>
      </c>
      <c r="B16" s="5" t="s">
        <v>10</v>
      </c>
      <c r="C16" s="5" t="s">
        <v>11</v>
      </c>
      <c r="D16" s="6" t="s">
        <v>23</v>
      </c>
      <c r="E16" s="7">
        <v>7549.47</v>
      </c>
      <c r="F16" s="8">
        <v>7492.3</v>
      </c>
      <c r="G16" s="8">
        <v>7416.42</v>
      </c>
      <c r="H16" s="8">
        <f t="shared" si="1"/>
        <v>667.4778</v>
      </c>
      <c r="I16" s="19" t="s">
        <v>27</v>
      </c>
      <c r="J16" s="18"/>
      <c r="K16"/>
    </row>
    <row r="17" ht="21" customHeight="1" spans="1:11">
      <c r="A17" s="3">
        <v>15</v>
      </c>
      <c r="B17" s="5" t="s">
        <v>10</v>
      </c>
      <c r="C17" s="5" t="s">
        <v>11</v>
      </c>
      <c r="D17" s="6" t="s">
        <v>23</v>
      </c>
      <c r="E17" s="7">
        <v>9724.72</v>
      </c>
      <c r="F17" s="8">
        <v>9667.54</v>
      </c>
      <c r="G17" s="8">
        <v>8813.18</v>
      </c>
      <c r="H17" s="8">
        <f t="shared" si="1"/>
        <v>793.1862</v>
      </c>
      <c r="I17" s="19" t="s">
        <v>28</v>
      </c>
      <c r="J17" s="18"/>
      <c r="K17"/>
    </row>
    <row r="18" ht="21" customHeight="1" spans="1:11">
      <c r="A18" s="3">
        <v>16</v>
      </c>
      <c r="B18" s="5" t="s">
        <v>10</v>
      </c>
      <c r="C18" s="5" t="s">
        <v>11</v>
      </c>
      <c r="D18" s="6" t="s">
        <v>23</v>
      </c>
      <c r="E18" s="7">
        <v>4844.56</v>
      </c>
      <c r="F18" s="8">
        <v>4787.38</v>
      </c>
      <c r="G18" s="8">
        <v>4782.51</v>
      </c>
      <c r="H18" s="8">
        <f t="shared" si="1"/>
        <v>430.4259</v>
      </c>
      <c r="I18" s="19" t="s">
        <v>29</v>
      </c>
      <c r="J18" s="18"/>
      <c r="K18"/>
    </row>
    <row r="19" ht="21" customHeight="1" spans="1:11">
      <c r="A19" s="3">
        <v>17</v>
      </c>
      <c r="B19" s="5" t="s">
        <v>10</v>
      </c>
      <c r="C19" s="5" t="s">
        <v>11</v>
      </c>
      <c r="D19" s="6" t="s">
        <v>30</v>
      </c>
      <c r="E19" s="7">
        <v>5434.41</v>
      </c>
      <c r="F19" s="8">
        <v>5377.24</v>
      </c>
      <c r="G19" s="8">
        <v>5410.48</v>
      </c>
      <c r="H19" s="8">
        <f t="shared" si="1"/>
        <v>486.9432</v>
      </c>
      <c r="I19" s="19" t="s">
        <v>31</v>
      </c>
      <c r="J19" s="18"/>
      <c r="K19"/>
    </row>
    <row r="20" ht="33" customHeight="1" spans="1:9">
      <c r="A20" s="9" t="s">
        <v>32</v>
      </c>
      <c r="B20" s="10"/>
      <c r="C20" s="10"/>
      <c r="D20" s="11"/>
      <c r="E20" s="12">
        <f>SUM(E3:E19)</f>
        <v>104199.88</v>
      </c>
      <c r="F20" s="12">
        <f>SUM(F3:F19)</f>
        <v>102679.58</v>
      </c>
      <c r="G20" s="12">
        <f>SUM(G3:G19)</f>
        <v>99351.9</v>
      </c>
      <c r="H20" s="13">
        <f>SUM(H3:H19)</f>
        <v>8941.671</v>
      </c>
      <c r="I20" s="20"/>
    </row>
    <row r="21" ht="258" customHeight="1" spans="1:10">
      <c r="A21" s="14" t="s">
        <v>33</v>
      </c>
      <c r="B21" s="15"/>
      <c r="C21" s="15"/>
      <c r="D21" s="16" t="s">
        <v>34</v>
      </c>
      <c r="E21" s="16"/>
      <c r="F21" s="16"/>
      <c r="G21" s="16"/>
      <c r="H21" s="16"/>
      <c r="I21" s="21" t="s">
        <v>35</v>
      </c>
      <c r="J21" s="22"/>
    </row>
  </sheetData>
  <mergeCells count="4">
    <mergeCell ref="A1:I1"/>
    <mergeCell ref="A20:D20"/>
    <mergeCell ref="A21:C21"/>
    <mergeCell ref="D21:H21"/>
  </mergeCells>
  <conditionalFormatting sqref="I1:I2 I20 I22:I1048576">
    <cfRule type="duplicateValues" dxfId="0" priority="1"/>
  </conditionalFormatting>
  <pageMargins left="0.432638888888889" right="0.357638888888889" top="0.590277777777778" bottom="0.0152777777777778" header="0.5" footer="0.5"/>
  <pageSetup paperSize="9" scale="68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@剑尖起舞</cp:lastModifiedBy>
  <dcterms:created xsi:type="dcterms:W3CDTF">2025-03-14T01:07:00Z</dcterms:created>
  <dcterms:modified xsi:type="dcterms:W3CDTF">2026-01-19T10:13:21Z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E3952D48108348AFB9D0DC7621465637_13</vt:lpwstr>
  </property>
  <property fmtid="{D5CDD505-2E9C-101B-9397-08002B2CF9AE}" pid="3" name="KSOProductBuildVer">
    <vt:lpwstr>2052-12.1.0.22529</vt:lpwstr>
  </property>
</Properties>
</file>